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rapolmac/Downloads/"/>
    </mc:Choice>
  </mc:AlternateContent>
  <xr:revisionPtr revIDLastSave="0" documentId="8_{FFF26EB0-50E8-4231-B291-4738DF983CA6}" xr6:coauthVersionLast="47" xr6:coauthVersionMax="47" xr10:uidLastSave="{00000000-0000-0000-0000-000000000000}"/>
  <bookViews>
    <workbookView xWindow="700" yWindow="860" windowWidth="28700" windowHeight="16660" tabRatio="810" xr2:uid="{00000000-000D-0000-FFFF-FFFF00000000}"/>
  </bookViews>
  <sheets>
    <sheet name="Non-payroll JAN 2026" sheetId="2" r:id="rId1"/>
  </sheets>
  <definedNames>
    <definedName name="_xlnm._FilterDatabase" localSheetId="0" hidden="1">'Non-payroll JAN 2026'!$A$5:$U$27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2" l="1"/>
  <c r="P24" i="2"/>
  <c r="U27" i="2"/>
  <c r="P27" i="2"/>
  <c r="C32" i="2"/>
  <c r="C33" i="2"/>
  <c r="C34" i="2"/>
  <c r="C37" i="2" l="1"/>
  <c r="U22" i="2"/>
  <c r="P22" i="2"/>
  <c r="P19" i="2"/>
  <c r="P20" i="2"/>
  <c r="P21" i="2"/>
  <c r="U21" i="2"/>
  <c r="U20" i="2"/>
  <c r="U19" i="2" l="1"/>
  <c r="U26" i="2" l="1"/>
  <c r="P26" i="2"/>
  <c r="P6" i="2"/>
  <c r="U6" i="2"/>
  <c r="P7" i="2"/>
  <c r="U7" i="2"/>
  <c r="P8" i="2"/>
  <c r="U8" i="2"/>
  <c r="P9" i="2"/>
  <c r="U9" i="2"/>
  <c r="P10" i="2"/>
  <c r="U10" i="2"/>
  <c r="P11" i="2"/>
  <c r="U11" i="2"/>
  <c r="P12" i="2"/>
  <c r="U12" i="2"/>
  <c r="P13" i="2"/>
  <c r="U13" i="2"/>
  <c r="P14" i="2"/>
  <c r="U14" i="2"/>
  <c r="P15" i="2"/>
  <c r="U15" i="2"/>
  <c r="P16" i="2"/>
  <c r="U16" i="2"/>
  <c r="P17" i="2"/>
  <c r="U17" i="2"/>
  <c r="P18" i="2"/>
  <c r="U18" i="2"/>
  <c r="P23" i="2"/>
  <c r="U23" i="2"/>
  <c r="P25" i="2"/>
  <c r="U25" i="2"/>
</calcChain>
</file>

<file path=xl/sharedStrings.xml><?xml version="1.0" encoding="utf-8"?>
<sst xmlns="http://schemas.openxmlformats.org/spreadsheetml/2006/main" count="358" uniqueCount="145">
  <si>
    <t>No.</t>
  </si>
  <si>
    <t>Emp ID</t>
  </si>
  <si>
    <t>Prefix</t>
  </si>
  <si>
    <t>Name - Surname</t>
  </si>
  <si>
    <t>Email</t>
  </si>
  <si>
    <t>Department</t>
  </si>
  <si>
    <t>Section</t>
  </si>
  <si>
    <t>Position</t>
  </si>
  <si>
    <t>Project (DT)</t>
  </si>
  <si>
    <t>Project (FI)</t>
  </si>
  <si>
    <t>Line Manager</t>
  </si>
  <si>
    <t>Team Leader</t>
  </si>
  <si>
    <t>Type</t>
  </si>
  <si>
    <t>Job Level</t>
  </si>
  <si>
    <t>Start</t>
  </si>
  <si>
    <t>Current Period</t>
  </si>
  <si>
    <t>End</t>
  </si>
  <si>
    <t>Vendor</t>
  </si>
  <si>
    <t>Status</t>
  </si>
  <si>
    <t>Starting Date</t>
  </si>
  <si>
    <t>Year of service</t>
  </si>
  <si>
    <t>OS0324</t>
  </si>
  <si>
    <t xml:space="preserve">Mr. </t>
  </si>
  <si>
    <t>Narawit Upaijit</t>
  </si>
  <si>
    <t>narawiup@scg.com</t>
  </si>
  <si>
    <t>Platform &amp; Software Engineering</t>
  </si>
  <si>
    <t>Software Engineering</t>
  </si>
  <si>
    <t>Lead Software Engineer</t>
  </si>
  <si>
    <t>Warm body - IT Dist</t>
  </si>
  <si>
    <t>Settapong Tunyarittikorn</t>
  </si>
  <si>
    <t>Watinyu Nilsri</t>
  </si>
  <si>
    <t>Warmbody</t>
  </si>
  <si>
    <t>S3</t>
  </si>
  <si>
    <t>Getlink</t>
  </si>
  <si>
    <t>Active</t>
  </si>
  <si>
    <t>4A800015</t>
  </si>
  <si>
    <t>Sinlapakorn Aunjitt</t>
  </si>
  <si>
    <t>sinlapaa@scg.com</t>
  </si>
  <si>
    <t>SARA Meeting Summarization</t>
  </si>
  <si>
    <t>Contractor</t>
  </si>
  <si>
    <t>Adecco</t>
  </si>
  <si>
    <t>SCG322010922</t>
  </si>
  <si>
    <t>Warachat Khuntong</t>
  </si>
  <si>
    <t>warachkh@scg.com</t>
  </si>
  <si>
    <t>Associate Software Engineer</t>
  </si>
  <si>
    <t>S1</t>
  </si>
  <si>
    <t>Persol</t>
  </si>
  <si>
    <t>SCG325011122</t>
  </si>
  <si>
    <t>Akkarapol Santithaweererk</t>
  </si>
  <si>
    <t>akkaraps@scg.com</t>
  </si>
  <si>
    <t>OS0670</t>
  </si>
  <si>
    <t>Phanthakan Khawdee</t>
  </si>
  <si>
    <t>phanthkh@scg.com</t>
  </si>
  <si>
    <t>Software Engineer</t>
  </si>
  <si>
    <t>CHR MedCalim</t>
  </si>
  <si>
    <t>Nopparit Phuwaketanon</t>
  </si>
  <si>
    <t>S2</t>
  </si>
  <si>
    <t>OS0680</t>
  </si>
  <si>
    <t>Metes Takasaki</t>
  </si>
  <si>
    <t>metestak@scg.com</t>
  </si>
  <si>
    <t>GINII2</t>
  </si>
  <si>
    <t>OS0693</t>
  </si>
  <si>
    <t>Jirapong Srikumthai</t>
  </si>
  <si>
    <t>jirasrik@scg.com</t>
  </si>
  <si>
    <t>OS0697</t>
  </si>
  <si>
    <t>Suppawit Intanacom</t>
  </si>
  <si>
    <t>suppawii@scg.com</t>
  </si>
  <si>
    <t>P1 SCG Home Online</t>
  </si>
  <si>
    <t>Warm body - SCG Home online</t>
  </si>
  <si>
    <t>OS0722</t>
  </si>
  <si>
    <t>Komdech Petchngam</t>
  </si>
  <si>
    <t>komdechp@scg.com</t>
  </si>
  <si>
    <t>Demand Forecast</t>
  </si>
  <si>
    <t>4A800014</t>
  </si>
  <si>
    <t>Wasinpon Dontreesanor</t>
  </si>
  <si>
    <t>wasinpod@scg.com</t>
  </si>
  <si>
    <t>SCG317150822</t>
  </si>
  <si>
    <t>Auttawut Hancharoensak</t>
  </si>
  <si>
    <t>auttawha@scg.com</t>
  </si>
  <si>
    <t>SCG Home Chatbot</t>
  </si>
  <si>
    <t>Sarayuth Rattanapraphai</t>
  </si>
  <si>
    <t>OS0843</t>
  </si>
  <si>
    <t>Thammawit Eiewpothingoen</t>
  </si>
  <si>
    <t>thammawe@scg.com</t>
  </si>
  <si>
    <t>Dociety</t>
  </si>
  <si>
    <t>4A800021</t>
  </si>
  <si>
    <t>Piyapon Udomwong</t>
  </si>
  <si>
    <t>piyaponu@scg.com</t>
  </si>
  <si>
    <t>SCG3447230724</t>
  </si>
  <si>
    <t>Saran Sitthiprom</t>
  </si>
  <si>
    <t>saransit@scg.com</t>
  </si>
  <si>
    <t>RM Work Tool</t>
  </si>
  <si>
    <t>SCG3448010824</t>
  </si>
  <si>
    <t>Pongdanai Prasawang</t>
  </si>
  <si>
    <t>pongdanp@scg.com</t>
  </si>
  <si>
    <t>SCGP E-Ordering</t>
  </si>
  <si>
    <t>SCG349160924</t>
  </si>
  <si>
    <t>Thapakorn Santichatsak</t>
  </si>
  <si>
    <t>thapsant@scg.com</t>
  </si>
  <si>
    <t>SCG350181124</t>
  </si>
  <si>
    <t xml:space="preserve">Visarut Sihink </t>
  </si>
  <si>
    <t>visarusi@scg.com</t>
  </si>
  <si>
    <t>4A800012</t>
  </si>
  <si>
    <t>Ms.</t>
  </si>
  <si>
    <t>Apiyada Saelim</t>
  </si>
  <si>
    <t>apiyadas@scg.com</t>
  </si>
  <si>
    <t>Solution Delivery</t>
  </si>
  <si>
    <t>Data Technology</t>
  </si>
  <si>
    <t>Associate Data Engineer</t>
  </si>
  <si>
    <t>Data360</t>
  </si>
  <si>
    <t>Data Platform, Operation Support</t>
  </si>
  <si>
    <t>Tanakorn Padungkiatsakul</t>
  </si>
  <si>
    <t>4A800039</t>
  </si>
  <si>
    <t>Kongphop Namvongsa</t>
  </si>
  <si>
    <t>kongphon@scg.com</t>
  </si>
  <si>
    <t>Technology Analyst</t>
  </si>
  <si>
    <t>Promptplus , NCC , DAM , EBDM , sFinPay</t>
  </si>
  <si>
    <t>Kanlaya Luengthongdee</t>
  </si>
  <si>
    <t>SCG336240523</t>
  </si>
  <si>
    <t>Nutcha Sangsuwan</t>
  </si>
  <si>
    <t>nutchsan@scg.com</t>
  </si>
  <si>
    <t>Technology QA</t>
  </si>
  <si>
    <t>Doozy/ Prompt Plus / RM Work tool</t>
  </si>
  <si>
    <t>Wisanu Anothaisintawee</t>
  </si>
  <si>
    <t>Unchalee Tongsinlalipont</t>
  </si>
  <si>
    <t>OS036</t>
  </si>
  <si>
    <t xml:space="preserve">Pathomporn Palaket </t>
  </si>
  <si>
    <t>pathopal@scg.com</t>
  </si>
  <si>
    <t>Talent &amp; Digital Enablement</t>
  </si>
  <si>
    <t>Talent Experience &amp; Development</t>
  </si>
  <si>
    <t>Content &amp; Communication Specialist</t>
  </si>
  <si>
    <t>Commu / Media</t>
  </si>
  <si>
    <t>Pilasinee Lalin</t>
  </si>
  <si>
    <t>Warangkana Tatrakom</t>
  </si>
  <si>
    <t>CGP</t>
  </si>
  <si>
    <t>OS078</t>
  </si>
  <si>
    <t>Chalantorn Boonsonti</t>
  </si>
  <si>
    <t>chalantb@scg.com</t>
  </si>
  <si>
    <t>Resource Management</t>
  </si>
  <si>
    <t>Facility Management Administrator</t>
  </si>
  <si>
    <t>Facility</t>
  </si>
  <si>
    <t>Napassawan Mahattanakul</t>
  </si>
  <si>
    <t>Total</t>
  </si>
  <si>
    <t>New Comer</t>
  </si>
  <si>
    <t>Resigned in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</si>
</sst>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 &quot;y&quot;\ m\ &quot;m&quot;"/>
  </numFmts>
  <fonts count="15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Tahoma"/>
      <family val="2"/>
      <charset val="222"/>
      <scheme val="minor"/>
    </font>
    <font>
      <sz val="10"/>
      <name val="Calibri"/>
      <family val="2"/>
    </font>
    <font>
      <sz val="8"/>
      <color rgb="FF444444"/>
      <name val="Berlin Sans FB"/>
      <family val="2"/>
    </font>
    <font>
      <sz val="10"/>
      <color rgb="FF000000"/>
      <name val="Arial"/>
      <family val="2"/>
    </font>
    <font>
      <sz val="10"/>
      <color rgb="FF201F1E"/>
      <name val="Calibri"/>
      <family val="2"/>
    </font>
    <font>
      <b/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sz val="10"/>
      <color theme="1"/>
      <name val="Calibri"/>
      <family val="2"/>
    </font>
    <font>
      <sz val="1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8" fillId="0" borderId="0"/>
    <xf numFmtId="0" fontId="12" fillId="0" borderId="0" applyNumberFormat="0" applyFill="0" applyBorder="0" applyAlignment="0" applyProtection="0"/>
    <xf numFmtId="0" fontId="1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3" fillId="0" borderId="0" xfId="0" applyFont="1"/>
    <xf numFmtId="0" fontId="0" fillId="6" borderId="0" xfId="0" applyFill="1"/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/>
    <xf numFmtId="1" fontId="4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14" fontId="4" fillId="6" borderId="1" xfId="0" applyNumberFormat="1" applyFont="1" applyFill="1" applyBorder="1" applyAlignment="1">
      <alignment horizontal="left"/>
    </xf>
    <xf numFmtId="164" fontId="7" fillId="6" borderId="1" xfId="0" applyNumberFormat="1" applyFont="1" applyFill="1" applyBorder="1"/>
    <xf numFmtId="0" fontId="3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1" fontId="4" fillId="0" borderId="0" xfId="0" applyNumberFormat="1" applyFont="1"/>
    <xf numFmtId="16" fontId="4" fillId="0" borderId="0" xfId="0" applyNumberFormat="1" applyFont="1" applyAlignment="1">
      <alignment horizontal="left"/>
    </xf>
    <xf numFmtId="0" fontId="13" fillId="0" borderId="0" xfId="0" applyFont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  <xf numFmtId="1" fontId="10" fillId="5" borderId="0" xfId="0" applyNumberFormat="1" applyFont="1" applyFill="1"/>
    <xf numFmtId="0" fontId="10" fillId="5" borderId="0" xfId="0" applyFont="1" applyFill="1"/>
    <xf numFmtId="1" fontId="0" fillId="10" borderId="0" xfId="0" applyNumberFormat="1" applyFill="1"/>
    <xf numFmtId="0" fontId="14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6" fillId="0" borderId="0" xfId="4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13" fillId="0" borderId="0" xfId="0" applyNumberFormat="1" applyFont="1"/>
    <xf numFmtId="0" fontId="4" fillId="0" borderId="3" xfId="0" applyFont="1" applyBorder="1"/>
    <xf numFmtId="0" fontId="6" fillId="0" borderId="4" xfId="0" applyFont="1" applyBorder="1" applyAlignment="1">
      <alignment horizontal="left" vertical="center"/>
    </xf>
    <xf numFmtId="0" fontId="4" fillId="0" borderId="5" xfId="0" applyFont="1" applyBorder="1"/>
    <xf numFmtId="0" fontId="4" fillId="0" borderId="2" xfId="0" applyFont="1" applyBorder="1"/>
    <xf numFmtId="0" fontId="3" fillId="0" borderId="3" xfId="0" applyFont="1" applyBorder="1" applyAlignment="1">
      <alignment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7" xfId="0" applyFont="1" applyBorder="1" applyAlignment="1">
      <alignment vertical="center" wrapText="1"/>
    </xf>
    <xf numFmtId="0" fontId="4" fillId="0" borderId="4" xfId="0" applyFont="1" applyBorder="1"/>
    <xf numFmtId="0" fontId="3" fillId="0" borderId="5" xfId="0" applyFont="1" applyBorder="1" applyAlignment="1">
      <alignment vertical="center" wrapText="1"/>
    </xf>
    <xf numFmtId="1" fontId="0" fillId="6" borderId="0" xfId="0" applyNumberFormat="1" applyFill="1"/>
    <xf numFmtId="0" fontId="3" fillId="0" borderId="9" xfId="0" applyFont="1" applyBorder="1" applyAlignment="1">
      <alignment vertical="top"/>
    </xf>
  </cellXfs>
  <cellStyles count="6">
    <cellStyle name="Hyperlink" xfId="4" builtinId="8"/>
    <cellStyle name="Normal" xfId="0" builtinId="0"/>
    <cellStyle name="Normal 2" xfId="1" xr:uid="{00000000-0005-0000-0000-000004000000}"/>
    <cellStyle name="Normal 3" xfId="2" xr:uid="{00000000-0005-0000-0000-000005000000}"/>
    <cellStyle name="Normal 4" xfId="3" xr:uid="{00000000-0005-0000-0000-000006000000}"/>
    <cellStyle name="Normal 5" xfId="5" xr:uid="{ABEACF0C-0D8D-4FE2-AD22-FE3F62A2C1B1}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1186933</xdr:colOff>
      <xdr:row>0</xdr:row>
      <xdr:rowOff>49062</xdr:rowOff>
    </xdr:from>
    <xdr:ext cx="7650855" cy="54803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7CEBCE-25A6-4BCD-8600-3C4A477A10EB}"/>
            </a:ext>
          </a:extLst>
        </xdr:cNvPr>
        <xdr:cNvSpPr/>
      </xdr:nvSpPr>
      <xdr:spPr>
        <a:xfrm>
          <a:off x="2739508" y="49062"/>
          <a:ext cx="7650855" cy="54803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 baseline="0">
              <a:ln w="0"/>
              <a:solidFill>
                <a:srgbClr val="7030A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Non-payroll Report: June 2026</a:t>
          </a:r>
          <a:endParaRPr lang="en-US" sz="2800" b="0" cap="none" spc="0">
            <a:ln w="0"/>
            <a:solidFill>
              <a:srgbClr val="7030A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B16F-EC00-425B-B2FD-9A19774E539C}">
  <sheetPr>
    <tabColor rgb="FF7030A0"/>
  </sheetPr>
  <dimension ref="A4:U66"/>
  <sheetViews>
    <sheetView tabSelected="1" zoomScale="90" zoomScaleNormal="90" workbookViewId="0">
      <pane xSplit="5" ySplit="5" topLeftCell="J6" activePane="bottomRight" state="frozen"/>
      <selection pane="bottomRight" activeCell="R33" sqref="R33"/>
      <selection pane="bottomLeft"/>
      <selection pane="topRight"/>
    </sheetView>
  </sheetViews>
  <sheetFormatPr defaultColWidth="8.875" defaultRowHeight="14.1" customHeight="1"/>
  <cols>
    <col min="1" max="1" width="3.625" style="2" customWidth="1"/>
    <col min="2" max="2" width="13.375" style="2" customWidth="1"/>
    <col min="3" max="3" width="6.125" customWidth="1"/>
    <col min="4" max="4" width="25.125" customWidth="1"/>
    <col min="5" max="5" width="17.125" customWidth="1"/>
    <col min="6" max="6" width="24.5" customWidth="1"/>
    <col min="7" max="7" width="25.875" customWidth="1"/>
    <col min="8" max="8" width="28.5" customWidth="1"/>
    <col min="9" max="9" width="25.625" customWidth="1"/>
    <col min="10" max="10" width="28.875" customWidth="1"/>
    <col min="11" max="11" width="22.625" customWidth="1"/>
    <col min="12" max="12" width="19.875" customWidth="1"/>
    <col min="13" max="13" width="8.125" style="1" customWidth="1"/>
    <col min="14" max="14" width="4.375" customWidth="1"/>
    <col min="15" max="15" width="9.125" customWidth="1"/>
    <col min="16" max="16" width="7.625" style="1" customWidth="1"/>
    <col min="17" max="17" width="9.125" customWidth="1"/>
    <col min="18" max="18" width="12.375" customWidth="1"/>
    <col min="19" max="19" width="8.125" customWidth="1"/>
    <col min="20" max="20" width="9.125" customWidth="1"/>
    <col min="21" max="21" width="9.5" customWidth="1"/>
  </cols>
  <sheetData>
    <row r="4" spans="1:21" ht="13.5" customHeight="1">
      <c r="A4"/>
      <c r="B4"/>
      <c r="F4" s="1"/>
      <c r="G4" s="1"/>
      <c r="K4" s="1"/>
      <c r="M4"/>
      <c r="P4"/>
    </row>
    <row r="5" spans="1:21" s="1" customFormat="1" ht="14.1" customHeight="1">
      <c r="A5" s="14" t="s">
        <v>0</v>
      </c>
      <c r="B5" s="14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15" t="s">
        <v>8</v>
      </c>
      <c r="J5" s="16" t="s">
        <v>9</v>
      </c>
      <c r="K5" s="13" t="s">
        <v>10</v>
      </c>
      <c r="L5" s="13" t="s">
        <v>11</v>
      </c>
      <c r="M5" s="13" t="s">
        <v>12</v>
      </c>
      <c r="N5" s="13" t="s">
        <v>13</v>
      </c>
      <c r="O5" s="17" t="s">
        <v>14</v>
      </c>
      <c r="P5" s="17" t="s">
        <v>15</v>
      </c>
      <c r="Q5" s="17" t="s">
        <v>16</v>
      </c>
      <c r="R5" s="13" t="s">
        <v>17</v>
      </c>
      <c r="S5" s="13" t="s">
        <v>18</v>
      </c>
      <c r="T5" s="18" t="s">
        <v>19</v>
      </c>
      <c r="U5" s="18" t="s">
        <v>20</v>
      </c>
    </row>
    <row r="6" spans="1:21" ht="14.1" customHeight="1">
      <c r="A6" s="19">
        <v>1</v>
      </c>
      <c r="B6" s="20" t="s">
        <v>21</v>
      </c>
      <c r="C6" s="19" t="s">
        <v>22</v>
      </c>
      <c r="D6" s="20" t="s">
        <v>23</v>
      </c>
      <c r="E6" s="20" t="s">
        <v>24</v>
      </c>
      <c r="F6" s="12" t="s">
        <v>25</v>
      </c>
      <c r="G6" s="3" t="s">
        <v>26</v>
      </c>
      <c r="H6" s="4" t="s">
        <v>27</v>
      </c>
      <c r="I6" s="21" t="s">
        <v>28</v>
      </c>
      <c r="J6" s="21" t="s">
        <v>28</v>
      </c>
      <c r="K6" s="22" t="s">
        <v>29</v>
      </c>
      <c r="L6" s="22" t="s">
        <v>30</v>
      </c>
      <c r="M6" s="10" t="s">
        <v>31</v>
      </c>
      <c r="N6" s="10" t="s">
        <v>32</v>
      </c>
      <c r="O6" s="23">
        <v>46082</v>
      </c>
      <c r="P6" s="24">
        <f t="shared" ref="P6:P16" ca="1" si="0">DATEDIF(TODAY(),Q6,"d")</f>
        <v>250</v>
      </c>
      <c r="Q6" s="23">
        <v>46446</v>
      </c>
      <c r="R6" s="10" t="s">
        <v>33</v>
      </c>
      <c r="S6" s="10" t="s">
        <v>34</v>
      </c>
      <c r="T6" s="23">
        <v>44256</v>
      </c>
      <c r="U6" s="25">
        <f t="shared" ref="U6:U16" ca="1" si="1">TODAY()-T6</f>
        <v>1940</v>
      </c>
    </row>
    <row r="7" spans="1:21" ht="15">
      <c r="A7" s="19">
        <v>2</v>
      </c>
      <c r="B7" s="20" t="s">
        <v>35</v>
      </c>
      <c r="C7" s="19" t="s">
        <v>22</v>
      </c>
      <c r="D7" s="20" t="s">
        <v>36</v>
      </c>
      <c r="E7" s="20" t="s">
        <v>37</v>
      </c>
      <c r="F7" s="12" t="s">
        <v>25</v>
      </c>
      <c r="G7" s="3" t="s">
        <v>26</v>
      </c>
      <c r="H7" s="4" t="s">
        <v>27</v>
      </c>
      <c r="I7" s="21" t="s">
        <v>38</v>
      </c>
      <c r="J7" s="21" t="s">
        <v>38</v>
      </c>
      <c r="K7" s="22" t="s">
        <v>29</v>
      </c>
      <c r="L7" s="26" t="s">
        <v>30</v>
      </c>
      <c r="M7" s="10" t="s">
        <v>39</v>
      </c>
      <c r="N7" s="10" t="s">
        <v>32</v>
      </c>
      <c r="O7" s="23">
        <v>45992</v>
      </c>
      <c r="P7" s="24">
        <f t="shared" ca="1" si="0"/>
        <v>160</v>
      </c>
      <c r="Q7" s="23">
        <v>46356</v>
      </c>
      <c r="R7" s="10" t="s">
        <v>40</v>
      </c>
      <c r="S7" s="10" t="s">
        <v>34</v>
      </c>
      <c r="T7" s="23">
        <v>44348</v>
      </c>
      <c r="U7" s="25">
        <f t="shared" ca="1" si="1"/>
        <v>1848</v>
      </c>
    </row>
    <row r="8" spans="1:21" ht="12.75" customHeight="1">
      <c r="A8" s="19">
        <v>3</v>
      </c>
      <c r="B8" s="20" t="s">
        <v>41</v>
      </c>
      <c r="C8" s="19" t="s">
        <v>22</v>
      </c>
      <c r="D8" s="20" t="s">
        <v>42</v>
      </c>
      <c r="E8" s="20" t="s">
        <v>43</v>
      </c>
      <c r="F8" s="12" t="s">
        <v>25</v>
      </c>
      <c r="G8" s="3" t="s">
        <v>26</v>
      </c>
      <c r="H8" s="21" t="s">
        <v>44</v>
      </c>
      <c r="I8" s="21" t="s">
        <v>28</v>
      </c>
      <c r="J8" s="74" t="s">
        <v>28</v>
      </c>
      <c r="K8" s="22" t="s">
        <v>29</v>
      </c>
      <c r="L8" s="22" t="s">
        <v>30</v>
      </c>
      <c r="M8" s="10" t="s">
        <v>31</v>
      </c>
      <c r="N8" s="10" t="s">
        <v>45</v>
      </c>
      <c r="O8" s="23">
        <v>46082</v>
      </c>
      <c r="P8" s="24">
        <f t="shared" ca="1" si="0"/>
        <v>250</v>
      </c>
      <c r="Q8" s="23">
        <v>46446</v>
      </c>
      <c r="R8" s="10" t="s">
        <v>46</v>
      </c>
      <c r="S8" s="10" t="s">
        <v>34</v>
      </c>
      <c r="T8" s="23">
        <v>44413</v>
      </c>
      <c r="U8" s="25">
        <f t="shared" ca="1" si="1"/>
        <v>1783</v>
      </c>
    </row>
    <row r="9" spans="1:21" ht="15">
      <c r="A9" s="19">
        <v>4</v>
      </c>
      <c r="B9" s="20" t="s">
        <v>47</v>
      </c>
      <c r="C9" s="19" t="s">
        <v>22</v>
      </c>
      <c r="D9" s="20" t="s">
        <v>48</v>
      </c>
      <c r="E9" s="20" t="s">
        <v>49</v>
      </c>
      <c r="F9" s="12" t="s">
        <v>25</v>
      </c>
      <c r="G9" s="3" t="s">
        <v>26</v>
      </c>
      <c r="H9" s="4" t="s">
        <v>27</v>
      </c>
      <c r="I9" s="69" t="s">
        <v>28</v>
      </c>
      <c r="J9" s="46" t="s">
        <v>28</v>
      </c>
      <c r="K9" s="73" t="s">
        <v>29</v>
      </c>
      <c r="L9" s="26" t="s">
        <v>30</v>
      </c>
      <c r="M9" s="10" t="s">
        <v>31</v>
      </c>
      <c r="N9" s="10" t="s">
        <v>32</v>
      </c>
      <c r="O9" s="23">
        <v>46143</v>
      </c>
      <c r="P9" s="24">
        <f t="shared" ca="1" si="0"/>
        <v>191</v>
      </c>
      <c r="Q9" s="23">
        <v>46387</v>
      </c>
      <c r="R9" s="10" t="s">
        <v>46</v>
      </c>
      <c r="S9" s="10" t="s">
        <v>34</v>
      </c>
      <c r="T9" s="23">
        <v>44487</v>
      </c>
      <c r="U9" s="25">
        <f t="shared" ca="1" si="1"/>
        <v>1709</v>
      </c>
    </row>
    <row r="10" spans="1:21" ht="14.1" customHeight="1">
      <c r="A10" s="19">
        <v>5</v>
      </c>
      <c r="B10" s="20" t="s">
        <v>50</v>
      </c>
      <c r="C10" s="19" t="s">
        <v>22</v>
      </c>
      <c r="D10" s="20" t="s">
        <v>51</v>
      </c>
      <c r="E10" s="20" t="s">
        <v>52</v>
      </c>
      <c r="F10" s="12" t="s">
        <v>25</v>
      </c>
      <c r="G10" s="3" t="s">
        <v>26</v>
      </c>
      <c r="H10" s="41" t="s">
        <v>53</v>
      </c>
      <c r="I10" s="70" t="s">
        <v>54</v>
      </c>
      <c r="J10" s="45" t="s">
        <v>54</v>
      </c>
      <c r="K10" s="73" t="s">
        <v>29</v>
      </c>
      <c r="L10" s="22" t="s">
        <v>55</v>
      </c>
      <c r="M10" s="10" t="s">
        <v>39</v>
      </c>
      <c r="N10" s="10" t="s">
        <v>56</v>
      </c>
      <c r="O10" s="23">
        <v>46082</v>
      </c>
      <c r="P10" s="24">
        <f t="shared" ca="1" si="0"/>
        <v>250</v>
      </c>
      <c r="Q10" s="23">
        <v>46446</v>
      </c>
      <c r="R10" s="10" t="s">
        <v>33</v>
      </c>
      <c r="S10" s="10" t="s">
        <v>34</v>
      </c>
      <c r="T10" s="23">
        <v>44615</v>
      </c>
      <c r="U10" s="25">
        <f t="shared" ca="1" si="1"/>
        <v>1581</v>
      </c>
    </row>
    <row r="11" spans="1:21" ht="14.1" customHeight="1">
      <c r="A11" s="19">
        <v>6</v>
      </c>
      <c r="B11" s="20" t="s">
        <v>57</v>
      </c>
      <c r="C11" s="19" t="s">
        <v>22</v>
      </c>
      <c r="D11" s="20" t="s">
        <v>58</v>
      </c>
      <c r="E11" s="20" t="s">
        <v>59</v>
      </c>
      <c r="F11" s="12" t="s">
        <v>25</v>
      </c>
      <c r="G11" s="3" t="s">
        <v>26</v>
      </c>
      <c r="H11" s="41" t="s">
        <v>53</v>
      </c>
      <c r="I11" s="71" t="s">
        <v>60</v>
      </c>
      <c r="J11" s="45" t="s">
        <v>60</v>
      </c>
      <c r="K11" s="73" t="s">
        <v>29</v>
      </c>
      <c r="L11" s="22" t="s">
        <v>55</v>
      </c>
      <c r="M11" s="10" t="s">
        <v>39</v>
      </c>
      <c r="N11" s="10" t="s">
        <v>56</v>
      </c>
      <c r="O11" s="23">
        <v>46113</v>
      </c>
      <c r="P11" s="24">
        <f t="shared" ca="1" si="0"/>
        <v>281</v>
      </c>
      <c r="Q11" s="23">
        <v>46477</v>
      </c>
      <c r="R11" s="10" t="s">
        <v>33</v>
      </c>
      <c r="S11" s="10" t="s">
        <v>34</v>
      </c>
      <c r="T11" s="23">
        <v>44655</v>
      </c>
      <c r="U11" s="25">
        <f t="shared" ca="1" si="1"/>
        <v>1541</v>
      </c>
    </row>
    <row r="12" spans="1:21" ht="14.1" customHeight="1">
      <c r="A12" s="19">
        <v>7</v>
      </c>
      <c r="B12" s="20" t="s">
        <v>61</v>
      </c>
      <c r="C12" s="19" t="s">
        <v>22</v>
      </c>
      <c r="D12" s="20" t="s">
        <v>62</v>
      </c>
      <c r="E12" s="20" t="s">
        <v>63</v>
      </c>
      <c r="F12" s="12" t="s">
        <v>25</v>
      </c>
      <c r="G12" s="3" t="s">
        <v>26</v>
      </c>
      <c r="H12" s="41" t="s">
        <v>27</v>
      </c>
      <c r="I12" s="72" t="s">
        <v>28</v>
      </c>
      <c r="J12" s="46" t="s">
        <v>28</v>
      </c>
      <c r="K12" s="73" t="s">
        <v>29</v>
      </c>
      <c r="L12" s="22" t="s">
        <v>30</v>
      </c>
      <c r="M12" s="10" t="s">
        <v>31</v>
      </c>
      <c r="N12" s="10" t="s">
        <v>32</v>
      </c>
      <c r="O12" s="23">
        <v>46143</v>
      </c>
      <c r="P12" s="24">
        <f t="shared" ca="1" si="0"/>
        <v>191</v>
      </c>
      <c r="Q12" s="23">
        <v>46387</v>
      </c>
      <c r="R12" s="10" t="s">
        <v>33</v>
      </c>
      <c r="S12" s="10" t="s">
        <v>34</v>
      </c>
      <c r="T12" s="23">
        <v>44676</v>
      </c>
      <c r="U12" s="25">
        <f t="shared" ca="1" si="1"/>
        <v>1520</v>
      </c>
    </row>
    <row r="13" spans="1:21" ht="14.1" customHeight="1">
      <c r="A13" s="19">
        <v>8</v>
      </c>
      <c r="B13" s="20" t="s">
        <v>64</v>
      </c>
      <c r="C13" s="19" t="s">
        <v>22</v>
      </c>
      <c r="D13" s="20" t="s">
        <v>65</v>
      </c>
      <c r="E13" s="20" t="s">
        <v>66</v>
      </c>
      <c r="F13" s="12" t="s">
        <v>25</v>
      </c>
      <c r="G13" s="3" t="s">
        <v>26</v>
      </c>
      <c r="H13" s="41" t="s">
        <v>27</v>
      </c>
      <c r="I13" s="72" t="s">
        <v>67</v>
      </c>
      <c r="J13" s="46" t="s">
        <v>68</v>
      </c>
      <c r="K13" s="73" t="s">
        <v>29</v>
      </c>
      <c r="L13" s="22" t="s">
        <v>55</v>
      </c>
      <c r="M13" s="10" t="s">
        <v>31</v>
      </c>
      <c r="N13" s="10" t="s">
        <v>32</v>
      </c>
      <c r="O13" s="23">
        <v>45992</v>
      </c>
      <c r="P13" s="24">
        <f t="shared" ca="1" si="0"/>
        <v>160</v>
      </c>
      <c r="Q13" s="23">
        <v>46356</v>
      </c>
      <c r="R13" s="10" t="s">
        <v>33</v>
      </c>
      <c r="S13" s="10" t="s">
        <v>34</v>
      </c>
      <c r="T13" s="23">
        <v>44684</v>
      </c>
      <c r="U13" s="25">
        <f t="shared" ca="1" si="1"/>
        <v>1512</v>
      </c>
    </row>
    <row r="14" spans="1:21" ht="14.1" customHeight="1">
      <c r="A14" s="19">
        <v>9</v>
      </c>
      <c r="B14" s="20" t="s">
        <v>69</v>
      </c>
      <c r="C14" s="19" t="s">
        <v>22</v>
      </c>
      <c r="D14" s="20" t="s">
        <v>70</v>
      </c>
      <c r="E14" s="20" t="s">
        <v>71</v>
      </c>
      <c r="F14" s="12" t="s">
        <v>25</v>
      </c>
      <c r="G14" s="3" t="s">
        <v>26</v>
      </c>
      <c r="H14" s="41" t="s">
        <v>27</v>
      </c>
      <c r="I14" s="72" t="s">
        <v>72</v>
      </c>
      <c r="J14" s="46" t="s">
        <v>28</v>
      </c>
      <c r="K14" s="73" t="s">
        <v>29</v>
      </c>
      <c r="L14" s="22" t="s">
        <v>30</v>
      </c>
      <c r="M14" s="10" t="s">
        <v>31</v>
      </c>
      <c r="N14" s="10" t="s">
        <v>32</v>
      </c>
      <c r="O14" s="23">
        <v>45992</v>
      </c>
      <c r="P14" s="24">
        <f t="shared" ca="1" si="0"/>
        <v>160</v>
      </c>
      <c r="Q14" s="23">
        <v>46356</v>
      </c>
      <c r="R14" s="10" t="s">
        <v>33</v>
      </c>
      <c r="S14" s="10" t="s">
        <v>34</v>
      </c>
      <c r="T14" s="23">
        <v>44698</v>
      </c>
      <c r="U14" s="25">
        <f t="shared" ca="1" si="1"/>
        <v>1498</v>
      </c>
    </row>
    <row r="15" spans="1:21" ht="14.1" customHeight="1">
      <c r="A15" s="19">
        <v>10</v>
      </c>
      <c r="B15" s="20" t="s">
        <v>73</v>
      </c>
      <c r="C15" s="19" t="s">
        <v>22</v>
      </c>
      <c r="D15" s="20" t="s">
        <v>74</v>
      </c>
      <c r="E15" s="20" t="s">
        <v>75</v>
      </c>
      <c r="F15" s="12" t="s">
        <v>25</v>
      </c>
      <c r="G15" s="3" t="s">
        <v>26</v>
      </c>
      <c r="H15" s="41" t="s">
        <v>27</v>
      </c>
      <c r="I15" s="72" t="s">
        <v>72</v>
      </c>
      <c r="J15" s="46" t="s">
        <v>28</v>
      </c>
      <c r="K15" s="73" t="s">
        <v>29</v>
      </c>
      <c r="L15" s="22" t="s">
        <v>30</v>
      </c>
      <c r="M15" s="10" t="s">
        <v>31</v>
      </c>
      <c r="N15" s="10" t="s">
        <v>32</v>
      </c>
      <c r="O15" s="23">
        <v>46023</v>
      </c>
      <c r="P15" s="24">
        <f t="shared" ca="1" si="0"/>
        <v>191</v>
      </c>
      <c r="Q15" s="23">
        <v>46387</v>
      </c>
      <c r="R15" s="10" t="s">
        <v>40</v>
      </c>
      <c r="S15" s="10" t="s">
        <v>34</v>
      </c>
      <c r="T15" s="23">
        <v>44725</v>
      </c>
      <c r="U15" s="25">
        <f t="shared" ca="1" si="1"/>
        <v>1471</v>
      </c>
    </row>
    <row r="16" spans="1:21" ht="14.1" customHeight="1">
      <c r="A16" s="19">
        <v>11</v>
      </c>
      <c r="B16" s="20" t="s">
        <v>76</v>
      </c>
      <c r="C16" s="19" t="s">
        <v>22</v>
      </c>
      <c r="D16" s="20" t="s">
        <v>77</v>
      </c>
      <c r="E16" s="20" t="s">
        <v>78</v>
      </c>
      <c r="F16" s="12" t="s">
        <v>25</v>
      </c>
      <c r="G16" s="3" t="s">
        <v>26</v>
      </c>
      <c r="H16" s="4" t="s">
        <v>53</v>
      </c>
      <c r="I16" s="21" t="s">
        <v>79</v>
      </c>
      <c r="J16" s="44" t="s">
        <v>79</v>
      </c>
      <c r="K16" s="22" t="s">
        <v>29</v>
      </c>
      <c r="L16" s="22" t="s">
        <v>80</v>
      </c>
      <c r="M16" s="10" t="s">
        <v>39</v>
      </c>
      <c r="N16" s="10" t="s">
        <v>32</v>
      </c>
      <c r="O16" s="23">
        <v>46082</v>
      </c>
      <c r="P16" s="24">
        <f t="shared" ca="1" si="0"/>
        <v>250</v>
      </c>
      <c r="Q16" s="23">
        <v>46446</v>
      </c>
      <c r="R16" s="10" t="s">
        <v>46</v>
      </c>
      <c r="S16" s="10" t="s">
        <v>34</v>
      </c>
      <c r="T16" s="23">
        <v>44788</v>
      </c>
      <c r="U16" s="25">
        <f t="shared" ca="1" si="1"/>
        <v>1408</v>
      </c>
    </row>
    <row r="17" spans="1:21" ht="14.1" customHeight="1">
      <c r="A17" s="19">
        <v>12</v>
      </c>
      <c r="B17" s="20" t="s">
        <v>81</v>
      </c>
      <c r="C17" s="19" t="s">
        <v>22</v>
      </c>
      <c r="D17" s="20" t="s">
        <v>82</v>
      </c>
      <c r="E17" s="20" t="s">
        <v>83</v>
      </c>
      <c r="F17" s="12" t="s">
        <v>25</v>
      </c>
      <c r="G17" s="3" t="s">
        <v>26</v>
      </c>
      <c r="H17" s="21" t="s">
        <v>44</v>
      </c>
      <c r="I17" s="27" t="s">
        <v>84</v>
      </c>
      <c r="J17" s="27" t="s">
        <v>84</v>
      </c>
      <c r="K17" s="22" t="s">
        <v>29</v>
      </c>
      <c r="L17" s="22" t="s">
        <v>55</v>
      </c>
      <c r="M17" s="10" t="s">
        <v>39</v>
      </c>
      <c r="N17" s="10" t="s">
        <v>45</v>
      </c>
      <c r="O17" s="23">
        <v>46143</v>
      </c>
      <c r="P17" s="24">
        <f t="shared" ref="P17:P24" ca="1" si="2">DATEDIF(TODAY(),Q17,"d")</f>
        <v>191</v>
      </c>
      <c r="Q17" s="23">
        <v>46387</v>
      </c>
      <c r="R17" s="10" t="s">
        <v>33</v>
      </c>
      <c r="S17" s="10" t="s">
        <v>34</v>
      </c>
      <c r="T17" s="23">
        <v>44866</v>
      </c>
      <c r="U17" s="25">
        <f t="shared" ref="U17:U24" ca="1" si="3">TODAY()-T17</f>
        <v>1330</v>
      </c>
    </row>
    <row r="18" spans="1:21" ht="14.1" customHeight="1">
      <c r="A18" s="19">
        <v>13</v>
      </c>
      <c r="B18" s="20" t="s">
        <v>85</v>
      </c>
      <c r="C18" s="19" t="s">
        <v>22</v>
      </c>
      <c r="D18" s="20" t="s">
        <v>86</v>
      </c>
      <c r="E18" s="20" t="s">
        <v>87</v>
      </c>
      <c r="F18" s="12" t="s">
        <v>25</v>
      </c>
      <c r="G18" s="3" t="s">
        <v>26</v>
      </c>
      <c r="H18" s="4" t="s">
        <v>53</v>
      </c>
      <c r="I18" s="21" t="s">
        <v>28</v>
      </c>
      <c r="J18" s="21" t="s">
        <v>28</v>
      </c>
      <c r="K18" s="22" t="s">
        <v>29</v>
      </c>
      <c r="L18" s="26" t="s">
        <v>30</v>
      </c>
      <c r="M18" s="10" t="s">
        <v>39</v>
      </c>
      <c r="N18" s="10" t="s">
        <v>56</v>
      </c>
      <c r="O18" s="23">
        <v>45992</v>
      </c>
      <c r="P18" s="24">
        <f t="shared" ca="1" si="2"/>
        <v>160</v>
      </c>
      <c r="Q18" s="23">
        <v>46356</v>
      </c>
      <c r="R18" s="10" t="s">
        <v>40</v>
      </c>
      <c r="S18" s="10" t="s">
        <v>34</v>
      </c>
      <c r="T18" s="23">
        <v>44896</v>
      </c>
      <c r="U18" s="25">
        <f t="shared" ca="1" si="3"/>
        <v>1300</v>
      </c>
    </row>
    <row r="19" spans="1:21" s="8" customFormat="1" ht="14.1" customHeight="1">
      <c r="A19" s="19">
        <v>14</v>
      </c>
      <c r="B19" s="29" t="s">
        <v>88</v>
      </c>
      <c r="C19" s="30" t="s">
        <v>22</v>
      </c>
      <c r="D19" s="31" t="s">
        <v>89</v>
      </c>
      <c r="E19" s="31" t="s">
        <v>90</v>
      </c>
      <c r="F19" s="12" t="s">
        <v>25</v>
      </c>
      <c r="G19" s="32" t="s">
        <v>26</v>
      </c>
      <c r="H19" s="33" t="s">
        <v>53</v>
      </c>
      <c r="I19" s="39" t="s">
        <v>91</v>
      </c>
      <c r="J19" s="39" t="s">
        <v>91</v>
      </c>
      <c r="K19" s="35" t="s">
        <v>29</v>
      </c>
      <c r="L19" s="36" t="s">
        <v>55</v>
      </c>
      <c r="M19" s="9" t="s">
        <v>39</v>
      </c>
      <c r="N19" s="9" t="s">
        <v>56</v>
      </c>
      <c r="O19" s="23">
        <v>46054</v>
      </c>
      <c r="P19" s="28">
        <f t="shared" ref="P19:P22" ca="1" si="4">DATEDIF(TODAY(),Q19,"d")</f>
        <v>222</v>
      </c>
      <c r="Q19" s="23">
        <v>46418</v>
      </c>
      <c r="R19" s="10" t="s">
        <v>46</v>
      </c>
      <c r="S19" s="10" t="s">
        <v>34</v>
      </c>
      <c r="T19" s="37">
        <v>45496</v>
      </c>
      <c r="U19" s="38">
        <f t="shared" ca="1" si="3"/>
        <v>700</v>
      </c>
    </row>
    <row r="20" spans="1:21" s="8" customFormat="1" ht="14.1" customHeight="1">
      <c r="A20" s="19">
        <v>15</v>
      </c>
      <c r="B20" s="20" t="s">
        <v>92</v>
      </c>
      <c r="C20" s="30" t="s">
        <v>22</v>
      </c>
      <c r="D20" s="11" t="s">
        <v>93</v>
      </c>
      <c r="E20" s="11" t="s">
        <v>94</v>
      </c>
      <c r="F20" s="12" t="s">
        <v>25</v>
      </c>
      <c r="G20" s="32" t="s">
        <v>26</v>
      </c>
      <c r="H20" s="33" t="s">
        <v>53</v>
      </c>
      <c r="I20" s="43" t="s">
        <v>95</v>
      </c>
      <c r="J20" s="34" t="s">
        <v>95</v>
      </c>
      <c r="K20" s="35" t="s">
        <v>29</v>
      </c>
      <c r="L20" s="36" t="s">
        <v>55</v>
      </c>
      <c r="M20" s="9" t="s">
        <v>39</v>
      </c>
      <c r="N20" s="9" t="s">
        <v>56</v>
      </c>
      <c r="O20" s="23">
        <v>46054</v>
      </c>
      <c r="P20" s="28">
        <f t="shared" ca="1" si="4"/>
        <v>222</v>
      </c>
      <c r="Q20" s="23">
        <v>46418</v>
      </c>
      <c r="R20" s="10" t="s">
        <v>46</v>
      </c>
      <c r="S20" s="10" t="s">
        <v>34</v>
      </c>
      <c r="T20" s="37">
        <v>45505</v>
      </c>
      <c r="U20" s="38">
        <f t="shared" ca="1" si="3"/>
        <v>691</v>
      </c>
    </row>
    <row r="21" spans="1:21" ht="14.1" customHeight="1">
      <c r="A21" s="19">
        <v>16</v>
      </c>
      <c r="B21" s="40" t="s">
        <v>96</v>
      </c>
      <c r="C21" s="19" t="s">
        <v>22</v>
      </c>
      <c r="D21" s="11" t="s">
        <v>97</v>
      </c>
      <c r="E21" s="11" t="s">
        <v>98</v>
      </c>
      <c r="F21" s="12" t="s">
        <v>25</v>
      </c>
      <c r="G21" s="3" t="s">
        <v>26</v>
      </c>
      <c r="H21" s="41" t="s">
        <v>53</v>
      </c>
      <c r="I21" s="46" t="s">
        <v>28</v>
      </c>
      <c r="J21" s="42" t="s">
        <v>28</v>
      </c>
      <c r="K21" s="22" t="s">
        <v>29</v>
      </c>
      <c r="L21" s="22" t="s">
        <v>30</v>
      </c>
      <c r="M21" s="10" t="s">
        <v>31</v>
      </c>
      <c r="N21" s="10" t="s">
        <v>56</v>
      </c>
      <c r="O21" s="23">
        <v>46113</v>
      </c>
      <c r="P21" s="24">
        <f t="shared" ca="1" si="4"/>
        <v>281</v>
      </c>
      <c r="Q21" s="23">
        <v>46477</v>
      </c>
      <c r="R21" s="10" t="s">
        <v>46</v>
      </c>
      <c r="S21" s="10" t="s">
        <v>34</v>
      </c>
      <c r="T21" s="23">
        <v>45551</v>
      </c>
      <c r="U21" s="25">
        <f t="shared" ref="U21:U22" ca="1" si="5">TODAY()-T21</f>
        <v>645</v>
      </c>
    </row>
    <row r="22" spans="1:21" ht="14.1" customHeight="1">
      <c r="A22" s="19">
        <v>17</v>
      </c>
      <c r="B22" s="40" t="s">
        <v>99</v>
      </c>
      <c r="C22" s="19" t="s">
        <v>22</v>
      </c>
      <c r="D22" s="11" t="s">
        <v>100</v>
      </c>
      <c r="E22" s="11" t="s">
        <v>101</v>
      </c>
      <c r="F22" s="12" t="s">
        <v>25</v>
      </c>
      <c r="G22" s="3" t="s">
        <v>26</v>
      </c>
      <c r="H22" s="4" t="s">
        <v>53</v>
      </c>
      <c r="I22" s="44" t="s">
        <v>28</v>
      </c>
      <c r="J22" s="21" t="s">
        <v>28</v>
      </c>
      <c r="K22" s="22" t="s">
        <v>29</v>
      </c>
      <c r="L22" s="22" t="s">
        <v>30</v>
      </c>
      <c r="M22" s="10" t="s">
        <v>31</v>
      </c>
      <c r="N22" s="10" t="s">
        <v>56</v>
      </c>
      <c r="O22" s="23">
        <v>45992</v>
      </c>
      <c r="P22" s="24">
        <f t="shared" ca="1" si="4"/>
        <v>160</v>
      </c>
      <c r="Q22" s="23">
        <v>46356</v>
      </c>
      <c r="R22" s="10" t="s">
        <v>46</v>
      </c>
      <c r="S22" s="10" t="s">
        <v>34</v>
      </c>
      <c r="T22" s="23">
        <v>45614</v>
      </c>
      <c r="U22" s="25">
        <f t="shared" ca="1" si="5"/>
        <v>582</v>
      </c>
    </row>
    <row r="23" spans="1:21" ht="14.1" customHeight="1">
      <c r="A23" s="19">
        <v>18</v>
      </c>
      <c r="B23" s="20" t="s">
        <v>102</v>
      </c>
      <c r="C23" s="19" t="s">
        <v>103</v>
      </c>
      <c r="D23" s="20" t="s">
        <v>104</v>
      </c>
      <c r="E23" s="20" t="s">
        <v>105</v>
      </c>
      <c r="F23" s="3" t="s">
        <v>106</v>
      </c>
      <c r="G23" s="20" t="s">
        <v>107</v>
      </c>
      <c r="H23" s="4" t="s">
        <v>108</v>
      </c>
      <c r="I23" s="21" t="s">
        <v>109</v>
      </c>
      <c r="J23" s="21" t="s">
        <v>110</v>
      </c>
      <c r="K23" s="20" t="s">
        <v>111</v>
      </c>
      <c r="L23" s="20" t="s">
        <v>111</v>
      </c>
      <c r="M23" s="10" t="s">
        <v>39</v>
      </c>
      <c r="N23" s="10" t="s">
        <v>45</v>
      </c>
      <c r="O23" s="23">
        <v>45992</v>
      </c>
      <c r="P23" s="24">
        <f t="shared" ca="1" si="2"/>
        <v>160</v>
      </c>
      <c r="Q23" s="23">
        <v>46356</v>
      </c>
      <c r="R23" s="10" t="s">
        <v>40</v>
      </c>
      <c r="S23" s="10" t="s">
        <v>34</v>
      </c>
      <c r="T23" s="23">
        <v>44684</v>
      </c>
      <c r="U23" s="25">
        <f t="shared" ca="1" si="3"/>
        <v>1512</v>
      </c>
    </row>
    <row r="24" spans="1:21" ht="14.1" customHeight="1">
      <c r="A24" s="19">
        <v>19</v>
      </c>
      <c r="B24" s="29" t="s">
        <v>112</v>
      </c>
      <c r="C24" s="19" t="s">
        <v>22</v>
      </c>
      <c r="D24" s="3" t="s">
        <v>113</v>
      </c>
      <c r="E24" s="3" t="s">
        <v>114</v>
      </c>
      <c r="F24" s="3" t="s">
        <v>106</v>
      </c>
      <c r="G24" s="21" t="s">
        <v>115</v>
      </c>
      <c r="H24" s="21" t="s">
        <v>115</v>
      </c>
      <c r="I24" s="34" t="s">
        <v>116</v>
      </c>
      <c r="J24" s="34" t="s">
        <v>116</v>
      </c>
      <c r="K24" s="22" t="s">
        <v>117</v>
      </c>
      <c r="L24" s="22" t="s">
        <v>117</v>
      </c>
      <c r="M24" s="10" t="s">
        <v>39</v>
      </c>
      <c r="N24" s="10" t="s">
        <v>56</v>
      </c>
      <c r="O24" s="23">
        <v>46147</v>
      </c>
      <c r="P24" s="24">
        <f t="shared" ca="1" si="2"/>
        <v>311</v>
      </c>
      <c r="Q24" s="23">
        <v>46507</v>
      </c>
      <c r="R24" s="10" t="s">
        <v>40</v>
      </c>
      <c r="S24" s="10" t="s">
        <v>34</v>
      </c>
      <c r="T24" s="23">
        <v>46147</v>
      </c>
      <c r="U24" s="25">
        <f t="shared" ca="1" si="3"/>
        <v>49</v>
      </c>
    </row>
    <row r="25" spans="1:21" ht="14.1" customHeight="1">
      <c r="A25" s="19">
        <v>20</v>
      </c>
      <c r="B25" s="20" t="s">
        <v>118</v>
      </c>
      <c r="C25" s="19" t="s">
        <v>103</v>
      </c>
      <c r="D25" s="22" t="s">
        <v>119</v>
      </c>
      <c r="E25" s="67" t="s">
        <v>120</v>
      </c>
      <c r="F25" s="3" t="s">
        <v>106</v>
      </c>
      <c r="G25" s="3" t="s">
        <v>121</v>
      </c>
      <c r="H25" s="20" t="s">
        <v>121</v>
      </c>
      <c r="I25" s="21" t="s">
        <v>122</v>
      </c>
      <c r="J25" s="21" t="s">
        <v>122</v>
      </c>
      <c r="K25" s="20" t="s">
        <v>123</v>
      </c>
      <c r="L25" s="22" t="s">
        <v>124</v>
      </c>
      <c r="M25" s="10" t="s">
        <v>39</v>
      </c>
      <c r="N25" s="10" t="s">
        <v>56</v>
      </c>
      <c r="O25" s="23">
        <v>45992</v>
      </c>
      <c r="P25" s="24">
        <f t="shared" ref="P25:P26" ca="1" si="6">DATEDIF(TODAY(),Q25,"d")</f>
        <v>160</v>
      </c>
      <c r="Q25" s="23">
        <v>46356</v>
      </c>
      <c r="R25" s="10" t="s">
        <v>46</v>
      </c>
      <c r="S25" s="10" t="s">
        <v>34</v>
      </c>
      <c r="T25" s="23">
        <v>45070</v>
      </c>
      <c r="U25" s="25">
        <f t="shared" ref="U25:U26" ca="1" si="7">TODAY()-T25</f>
        <v>1126</v>
      </c>
    </row>
    <row r="26" spans="1:21" ht="14.1" customHeight="1">
      <c r="A26" s="19">
        <v>21</v>
      </c>
      <c r="B26" s="20" t="s">
        <v>125</v>
      </c>
      <c r="C26" s="57" t="s">
        <v>22</v>
      </c>
      <c r="D26" s="65" t="s">
        <v>126</v>
      </c>
      <c r="E26" s="68" t="s">
        <v>127</v>
      </c>
      <c r="F26" s="66" t="s">
        <v>128</v>
      </c>
      <c r="G26" s="56" t="s">
        <v>129</v>
      </c>
      <c r="H26" s="5" t="s">
        <v>130</v>
      </c>
      <c r="I26" s="21" t="s">
        <v>131</v>
      </c>
      <c r="J26" s="21" t="s">
        <v>131</v>
      </c>
      <c r="K26" s="22" t="s">
        <v>132</v>
      </c>
      <c r="L26" s="22" t="s">
        <v>133</v>
      </c>
      <c r="M26" s="10" t="s">
        <v>39</v>
      </c>
      <c r="N26" s="10" t="s">
        <v>56</v>
      </c>
      <c r="O26" s="23">
        <v>45929</v>
      </c>
      <c r="P26" s="24">
        <f t="shared" ca="1" si="6"/>
        <v>99</v>
      </c>
      <c r="Q26" s="23">
        <v>46295</v>
      </c>
      <c r="R26" s="10" t="s">
        <v>134</v>
      </c>
      <c r="S26" s="10" t="s">
        <v>34</v>
      </c>
      <c r="T26" s="23">
        <v>45929</v>
      </c>
      <c r="U26" s="25">
        <f t="shared" ca="1" si="7"/>
        <v>267</v>
      </c>
    </row>
    <row r="27" spans="1:21" ht="14.1" customHeight="1">
      <c r="A27" s="19">
        <v>21</v>
      </c>
      <c r="B27" s="29" t="s">
        <v>135</v>
      </c>
      <c r="C27" s="57" t="s">
        <v>22</v>
      </c>
      <c r="D27" s="65" t="s">
        <v>136</v>
      </c>
      <c r="E27" s="68" t="s">
        <v>137</v>
      </c>
      <c r="F27" s="66" t="s">
        <v>128</v>
      </c>
      <c r="G27" s="21" t="s">
        <v>138</v>
      </c>
      <c r="H27" s="76" t="s">
        <v>139</v>
      </c>
      <c r="I27" s="34" t="s">
        <v>140</v>
      </c>
      <c r="J27" s="34" t="s">
        <v>140</v>
      </c>
      <c r="K27" s="22" t="s">
        <v>132</v>
      </c>
      <c r="L27" s="22" t="s">
        <v>141</v>
      </c>
      <c r="M27" s="10" t="s">
        <v>39</v>
      </c>
      <c r="N27" s="10" t="s">
        <v>56</v>
      </c>
      <c r="O27" s="23">
        <v>46142</v>
      </c>
      <c r="P27" s="24">
        <f t="shared" ref="P27" ca="1" si="8">DATEDIF(TODAY(),Q27,"d")</f>
        <v>311</v>
      </c>
      <c r="Q27" s="23">
        <v>46507</v>
      </c>
      <c r="R27" s="10" t="s">
        <v>134</v>
      </c>
      <c r="S27" s="10" t="s">
        <v>34</v>
      </c>
      <c r="T27" s="23">
        <v>46142</v>
      </c>
      <c r="U27" s="25">
        <f t="shared" ref="U27" ca="1" si="9">TODAY()-T27</f>
        <v>54</v>
      </c>
    </row>
    <row r="31" spans="1:21" ht="14.1" customHeight="1">
      <c r="B31" s="50" t="s">
        <v>40</v>
      </c>
      <c r="C31">
        <v>5</v>
      </c>
    </row>
    <row r="32" spans="1:21" ht="14.1" customHeight="1">
      <c r="B32" s="51" t="s">
        <v>33</v>
      </c>
      <c r="C32">
        <f>COUNTIF(R:R,B32)</f>
        <v>7</v>
      </c>
    </row>
    <row r="33" spans="2:16" ht="14.1" customHeight="1">
      <c r="B33" s="52" t="s">
        <v>46</v>
      </c>
      <c r="C33">
        <f>COUNTIF(R:R,B33)</f>
        <v>8</v>
      </c>
    </row>
    <row r="34" spans="2:16" ht="14.1" customHeight="1">
      <c r="B34" s="55" t="s">
        <v>134</v>
      </c>
      <c r="C34">
        <f>COUNTIF(R:R,B34)</f>
        <v>2</v>
      </c>
    </row>
    <row r="35" spans="2:16" ht="14.1" customHeight="1">
      <c r="B35" s="75"/>
    </row>
    <row r="37" spans="2:16" ht="14.1" customHeight="1">
      <c r="B37" s="53" t="s">
        <v>142</v>
      </c>
      <c r="C37" s="54">
        <f>SUM(C31:C35)</f>
        <v>22</v>
      </c>
    </row>
    <row r="39" spans="2:16" ht="14.1" customHeight="1">
      <c r="B39" s="64" t="s">
        <v>143</v>
      </c>
      <c r="C39" s="6">
        <v>0</v>
      </c>
      <c r="D39" s="6"/>
      <c r="E39" s="6"/>
      <c r="F39" s="48"/>
    </row>
    <row r="40" spans="2:16" ht="14.1" customHeight="1">
      <c r="B40" s="64"/>
      <c r="C40" s="6"/>
      <c r="D40" s="6"/>
      <c r="E40" s="6"/>
      <c r="F40" s="48"/>
    </row>
    <row r="41" spans="2:16" ht="14.1" customHeight="1">
      <c r="B41" s="64" t="s">
        <v>144</v>
      </c>
      <c r="C41" s="6">
        <v>0</v>
      </c>
      <c r="D41" s="6"/>
      <c r="E41" s="6"/>
      <c r="F41" s="6"/>
    </row>
    <row r="42" spans="2:16" ht="14.1" customHeight="1">
      <c r="B42" s="47"/>
      <c r="C42" s="49"/>
      <c r="D42" s="6"/>
      <c r="E42" s="6"/>
      <c r="F42" s="6"/>
    </row>
    <row r="43" spans="2:16" ht="14.1" customHeight="1">
      <c r="B43" s="47"/>
      <c r="C43" s="6"/>
      <c r="D43" s="6"/>
      <c r="E43" s="6"/>
      <c r="F43" s="48"/>
    </row>
    <row r="44" spans="2:16" ht="14.1" customHeight="1">
      <c r="B44" s="64"/>
      <c r="C44" s="49"/>
      <c r="D44" s="58"/>
      <c r="E44" s="58"/>
      <c r="F44" s="59"/>
      <c r="P44" s="63"/>
    </row>
    <row r="45" spans="2:16" ht="14.1" customHeight="1">
      <c r="B45" s="47"/>
      <c r="C45" s="6"/>
      <c r="D45" s="58"/>
      <c r="E45" s="58"/>
      <c r="F45" s="59"/>
      <c r="P45" s="63"/>
    </row>
    <row r="46" spans="2:16" ht="14.1" customHeight="1">
      <c r="B46" s="47"/>
      <c r="D46" s="58"/>
      <c r="E46" s="58"/>
      <c r="F46" s="59"/>
      <c r="P46" s="63"/>
    </row>
    <row r="47" spans="2:16" ht="14.1" customHeight="1">
      <c r="D47" s="58"/>
      <c r="E47" s="58"/>
      <c r="F47" s="59"/>
      <c r="P47" s="63"/>
    </row>
    <row r="48" spans="2:16" ht="14.1" customHeight="1">
      <c r="D48" s="58"/>
      <c r="E48" s="58"/>
      <c r="F48" s="59"/>
      <c r="P48" s="63"/>
    </row>
    <row r="49" spans="2:16" ht="14.1" customHeight="1">
      <c r="D49" s="58"/>
      <c r="E49" s="58"/>
      <c r="F49" s="59"/>
      <c r="P49" s="63"/>
    </row>
    <row r="50" spans="2:16" ht="14.1" customHeight="1">
      <c r="D50" s="58"/>
      <c r="E50" s="58"/>
      <c r="F50" s="59"/>
      <c r="P50" s="63"/>
    </row>
    <row r="51" spans="2:16" ht="14.1" customHeight="1">
      <c r="D51" s="60"/>
      <c r="E51" s="60"/>
      <c r="F51" s="59"/>
      <c r="P51" s="63"/>
    </row>
    <row r="52" spans="2:16" ht="14.1" customHeight="1">
      <c r="D52" s="60"/>
      <c r="E52" s="61"/>
      <c r="F52" s="59"/>
      <c r="P52" s="63"/>
    </row>
    <row r="53" spans="2:16" ht="14.1" customHeight="1">
      <c r="D53" s="60"/>
      <c r="E53" s="60"/>
      <c r="F53" s="59"/>
      <c r="P53" s="63"/>
    </row>
    <row r="54" spans="2:16" ht="14.1" customHeight="1">
      <c r="D54" s="60"/>
      <c r="E54" s="60"/>
      <c r="F54" s="59"/>
      <c r="P54" s="63"/>
    </row>
    <row r="55" spans="2:16" ht="14.1" customHeight="1">
      <c r="D55" s="60"/>
      <c r="E55" s="60"/>
      <c r="F55" s="59"/>
      <c r="P55" s="63"/>
    </row>
    <row r="56" spans="2:16" ht="14.1" customHeight="1">
      <c r="D56" s="60"/>
      <c r="E56" s="60"/>
      <c r="F56" s="59"/>
      <c r="P56" s="63"/>
    </row>
    <row r="57" spans="2:16" ht="14.1" customHeight="1">
      <c r="D57" s="7"/>
      <c r="E57" s="7"/>
    </row>
    <row r="58" spans="2:16" ht="14.1" customHeight="1">
      <c r="D58" s="7"/>
      <c r="E58" s="7"/>
    </row>
    <row r="59" spans="2:16" ht="14.1" customHeight="1">
      <c r="B59" s="64"/>
      <c r="C59" s="49"/>
      <c r="D59" s="58"/>
      <c r="E59" s="58"/>
      <c r="F59" s="59"/>
    </row>
    <row r="60" spans="2:16" ht="14.1" customHeight="1">
      <c r="B60" s="47"/>
      <c r="D60" s="58"/>
      <c r="E60" s="58"/>
      <c r="F60" s="59"/>
    </row>
    <row r="61" spans="2:16" ht="14.1" customHeight="1">
      <c r="B61" s="47"/>
      <c r="D61" s="62"/>
      <c r="E61" s="62"/>
      <c r="F61" s="59"/>
    </row>
    <row r="62" spans="2:16" ht="14.1" customHeight="1">
      <c r="D62" s="62"/>
      <c r="E62" s="62"/>
      <c r="F62" s="59"/>
    </row>
    <row r="63" spans="2:16" ht="14.1" customHeight="1">
      <c r="D63" s="6"/>
      <c r="E63" s="6"/>
      <c r="F63" s="59"/>
    </row>
    <row r="64" spans="2:16" ht="14.1" customHeight="1">
      <c r="D64" s="60"/>
      <c r="E64" s="60"/>
      <c r="F64" s="59"/>
    </row>
    <row r="65" spans="4:6" ht="14.1" customHeight="1">
      <c r="D65" s="60"/>
      <c r="E65" s="60"/>
      <c r="F65" s="59"/>
    </row>
    <row r="66" spans="4:6" ht="14.1" customHeight="1">
      <c r="D66" s="60"/>
      <c r="E66" s="60"/>
      <c r="F66" s="59"/>
    </row>
  </sheetData>
  <autoFilter ref="A5:U27" xr:uid="{00000000-0009-0000-0000-000001000000}"/>
  <phoneticPr fontId="11" type="noConversion"/>
  <conditionalFormatting sqref="H27">
    <cfRule type="expression" dxfId="0" priority="1">
      <formula>#REF!="Inactive"</formula>
    </cfRule>
  </conditionalFormatting>
  <conditionalFormatting sqref="P6:P8 P10:P16 P18:P27">
    <cfRule type="colorScale" priority="13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P8 P18 P10:P16 P23:P27">
    <cfRule type="colorScale" priority="13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P8 P18 P10:P16 P25:P27">
    <cfRule type="colorScale" priority="1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8"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5 P18 P10:P16">
    <cfRule type="colorScale" priority="1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P22">
    <cfRule type="colorScale" priority="1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3:P24"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4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6:P27 P6:P8"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6:P27"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7:P1048576 P1:P8 P18 P10:P16 P23:P43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7:P1048576 P1:P8 P18 P10:P16 P25:P43"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7:P1048576 P1:P8 P26:P43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7:P1048576 P3:P8 P26:P43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564524CF67C40ADF8A94BAA116E8E" ma:contentTypeVersion="9" ma:contentTypeDescription="Create a new document." ma:contentTypeScope="" ma:versionID="3b9ff6366d6443a6700b0d00a514909c">
  <xsd:schema xmlns:xsd="http://www.w3.org/2001/XMLSchema" xmlns:xs="http://www.w3.org/2001/XMLSchema" xmlns:p="http://schemas.microsoft.com/office/2006/metadata/properties" xmlns:ns2="b89d8de2-fdd4-431f-bcfc-6a09e55f64ba" targetNamespace="http://schemas.microsoft.com/office/2006/metadata/properties" ma:root="true" ma:fieldsID="6c8e3f8ea1eb7c6f4890ea724d09aa60" ns2:_="">
    <xsd:import namespace="b89d8de2-fdd4-431f-bcfc-6a09e55f64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d8de2-fdd4-431f-bcfc-6a09e55f6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9d8de2-fdd4-431f-bcfc-6a09e55f64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E26761-11D1-4E52-B523-C61625C2A1DA}"/>
</file>

<file path=customXml/itemProps2.xml><?xml version="1.0" encoding="utf-8"?>
<ds:datastoreItem xmlns:ds="http://schemas.openxmlformats.org/officeDocument/2006/customXml" ds:itemID="{6FA5F5A2-552D-4309-97C5-1F21CA554072}"/>
</file>

<file path=customXml/itemProps3.xml><?xml version="1.0" encoding="utf-8"?>
<ds:datastoreItem xmlns:ds="http://schemas.openxmlformats.org/officeDocument/2006/customXml" ds:itemID="{14278793-167C-4AAE-9C1E-827A554C7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yuii</dc:creator>
  <cp:keywords/>
  <dc:description/>
  <cp:lastModifiedBy/>
  <cp:revision/>
  <dcterms:created xsi:type="dcterms:W3CDTF">2020-07-09T01:47:01Z</dcterms:created>
  <dcterms:modified xsi:type="dcterms:W3CDTF">2026-06-23T03:51:51Z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0x0101006B3564524CF67C40ADF8A94BAA116E8E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2024-01-05T11:11:14Z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30d1d78d-7508-44a5-928e-40cc4efb18cd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ediaServiceImageTags">
    <vt:lpwstr/>
  </property>
</Properties>
</file>